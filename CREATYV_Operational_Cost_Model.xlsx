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vde\OneDrive\Desktop\Demo projects\Mint-more\saas\"/>
    </mc:Choice>
  </mc:AlternateContent>
  <xr:revisionPtr revIDLastSave="0" documentId="13_ncr:1_{DDF30148-5472-4641-93F7-2E201ECBAEBE}" xr6:coauthVersionLast="47" xr6:coauthVersionMax="47" xr10:uidLastSave="{00000000-0000-0000-0000-000000000000}"/>
  <bookViews>
    <workbookView xWindow="-110" yWindow="-110" windowWidth="19420" windowHeight="10300" tabRatio="500" firstSheet="3" activeTab="4" xr2:uid="{00000000-000D-0000-FFFF-FFFF00000000}"/>
  </bookViews>
  <sheets>
    <sheet name="Start Here" sheetId="1" r:id="rId1"/>
    <sheet name="1. Fixed Infra Costs" sheetId="2" r:id="rId2"/>
    <sheet name="2. AI Variable Costs" sheetId="3" r:id="rId3"/>
    <sheet name="3. Other Per-Client Costs" sheetId="4" r:id="rId4"/>
    <sheet name="4. Client Economics" sheetId="5" r:id="rId5"/>
    <sheet name="5. Open Decision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5" i="2" l="1"/>
  <c r="E10" i="4"/>
  <c r="E9" i="4"/>
  <c r="D5" i="4"/>
  <c r="C5" i="4"/>
  <c r="F14" i="3"/>
  <c r="F13" i="3"/>
  <c r="C13" i="3"/>
  <c r="F12" i="3"/>
  <c r="C12" i="3"/>
  <c r="F11" i="3"/>
  <c r="C11" i="3"/>
  <c r="F10" i="3"/>
  <c r="C10" i="3"/>
  <c r="F9" i="3"/>
  <c r="C9" i="3"/>
  <c r="F8" i="3"/>
  <c r="C8" i="3"/>
  <c r="F7" i="3"/>
  <c r="C7" i="3"/>
  <c r="F6" i="3"/>
  <c r="C6" i="3"/>
  <c r="F5" i="3"/>
  <c r="F16" i="3" s="1"/>
  <c r="C5" i="3"/>
  <c r="D7" i="2"/>
  <c r="D12" i="2"/>
  <c r="C15" i="5" s="1"/>
  <c r="C12" i="2"/>
  <c r="B15" i="5" s="1"/>
  <c r="C26" i="5"/>
  <c r="B26" i="5"/>
  <c r="C22" i="5"/>
  <c r="B22" i="5"/>
  <c r="C21" i="5"/>
  <c r="B21" i="5"/>
  <c r="B20" i="5"/>
  <c r="C19" i="5"/>
  <c r="B19" i="5"/>
  <c r="C11" i="5"/>
  <c r="C20" i="5" s="1"/>
  <c r="B11" i="5"/>
  <c r="C18" i="5" l="1"/>
  <c r="B18" i="5"/>
  <c r="B24" i="5"/>
  <c r="B27" i="5" s="1"/>
  <c r="B28" i="5" s="1"/>
  <c r="C24" i="5"/>
  <c r="C27" i="5" s="1"/>
  <c r="C28" i="5" s="1"/>
</calcChain>
</file>

<file path=xl/sharedStrings.xml><?xml version="1.0" encoding="utf-8"?>
<sst xmlns="http://schemas.openxmlformats.org/spreadsheetml/2006/main" count="165" uniqueCount="150">
  <si>
    <t>CREATYV — Operational Cost &amp; Pricing Readiness Model</t>
  </si>
  <si>
    <t>What this is</t>
  </si>
  <si>
    <t>Before pricing gets discussed with anyone — a client, an investor, or even yourself — this workbook exists to answer one question honestly: what does it actually cost, in rupees, to run CREATYV for one more client? Every number in this sheet came from what's actually built in the codebase. The blank yellow cells are the ones only you can fill in, because they're vendor prices that live in a Render/Supabase/OpenRouter dashboard, not in the code.</t>
  </si>
  <si>
    <t>How to use it</t>
  </si>
  <si>
    <t>1. Go to "1. Fixed Infra Costs" and fill in the yellow cells with your real monthly bills — Render, Supabase, Redis, Vercel, domain, WhatsApp/Meta if billed.</t>
  </si>
  <si>
    <t>2. Go to "2. AI Variable Costs" and fill in what OpenRouter/Replicate actually charge per model, and a rough guess at how many generations an average client uses per month.</t>
  </si>
  <si>
    <t>3. Go to "3. Client Economics" and fill in how many active clients you have (or expect) and today's membership price. The sheet will calculate your real cost per client and real margin automatically.</t>
  </si>
  <si>
    <t>4. Go to "4. Open Decisions" and work through the contradictions found in the code — these are business decisions waiting on you, not bugs waiting on a developer.</t>
  </si>
  <si>
    <t>5. Once this whole sheet feels true, you're ready to sit down with the founder-guide money section and actually answer it with numbers instead of guesses.</t>
  </si>
  <si>
    <t>Color key</t>
  </si>
  <si>
    <t>Yellow cells = numbers only you can fill in (real vendor prices, real usage)</t>
  </si>
  <si>
    <t>Blue text = an assumption you can change to test a scenario</t>
  </si>
  <si>
    <t>Black text = a formula. Don't type over these — they calculate automatically.</t>
  </si>
  <si>
    <t>Everything here reflects what Codex found in the actual repo as of July 2026. Where the repo had no answer (e.g. Render plan tier, actual OpenRouter pricing), it's flagged, not guessed.</t>
  </si>
  <si>
    <t>Live exchange rate (this one cell drives every USD-based cost in the workbook)</t>
  </si>
  <si>
    <t>1 US Dollar (USD) =</t>
  </si>
  <si>
    <t>← update this whenever the rupee moves</t>
  </si>
  <si>
    <t>Every vendor cost quoted in US dollars in Sheets 1–3 (Render, Redis, Supabase, OpenRouter/AI model pricing, S3/Supabase storage) is now a formula that multiplies the vendor's real USD price by this cell. Change C21 and the whole workbook — Sheet 4 margins included — recalculates instantly. WhatsApp and Razorpay rates are quoted directly in INR/%% by Meta/Razorpay for India, so they are not tied to this rate.</t>
  </si>
  <si>
    <t>Fixed Monthly Infrastructure Costs</t>
  </si>
  <si>
    <t>These run whether you have 1 client or 500. Render has been fully retired, Redis is now on Upstash, and file storage is now confirmed live on Cloudflare R2 — all three migrations are done, not planned. Both columns below now show the same confirmed numbers; kept as two columns so this sheet is ready to compare against the next real infra decision, whenever that comes up.</t>
  </si>
  <si>
    <t>Item</t>
  </si>
  <si>
    <t>What it's actually used for (from the code)</t>
  </si>
  <si>
    <t>Now
(Railway + Upstash + R2)</t>
  </si>
  <si>
    <t>Notes</t>
  </si>
  <si>
    <t>Backend hosting (web service + 4 background workers)</t>
  </si>
  <si>
    <t>Runs server.js: the API plus the social publish, AI generation, fulfillment monitor, and event outbox workers — all always-on. This is the line item that actually changes with the Railway move.</t>
  </si>
  <si>
    <t>Confirmed: deployed on Railway’s Hobby plan ($5/mo base + $5 included usage credit). $10/mo is a realistic working estimate at current scale — swap in your exact Railway billing dashboard number once you’ve got a few weeks of real usage data.</t>
  </si>
  <si>
    <t>Redis</t>
  </si>
  <si>
    <t>Powers BullMQ job queues and live/SSE notifications. Required either way — decide if this moves to Railway's managed Redis or stays separate.</t>
  </si>
  <si>
    <t>Confirmed: Upstash free tier — 10,000 commands/sec, 256MB data, 50GB monthly bandwidth, ₹0/month. Singapore region, co-located with the Railway backend. Plenty of headroom at current scale.</t>
  </si>
  <si>
    <t>Supabase — Postgres</t>
  </si>
  <si>
    <t>Main database, accessed via Supabase's session pooler. This isn't part of your stated migration — assume it stays on Supabase in both columns unless that changes too.</t>
  </si>
  <si>
    <t>Supabase Pro is $25/mo flat, bundling Postgres compute (Micro instance covered by included credit), auth, and a storage/bandwidth allowance. Same in both columns since the DB isn't part of the stated migration. If your DB has outgrown the Micro instance, add a compute upgrade on top of this. Cell now = $25 × the exchange rate on Start Here (same both columns).</t>
  </si>
  <si>
    <t>File storage (Mintbox + avatars + KYC + job files)</t>
  </si>
  <si>
    <t>Confirmed live on Cloudflare R2 (verified: a real uploaded file is showing correctly in the R2 dashboard).</t>
  </si>
  <si>
    <t>Left at ₹0 here on purpose — storage is modeled per-GB in Sheet 3 instead of as a flat guess, since it scales with how much clients actually upload. Sheet 3 now carries the confirmed R2 per-GB rate.</t>
  </si>
  <si>
    <t>Vercel — frontend hosting</t>
  </si>
  <si>
    <t>Hosts the client-facing app. Unrelated to the backend/storage migration — usually the same in both columns.</t>
  </si>
  <si>
    <t>Vercel's Hobby tier is free and typically sufficient for a single-team SPA at this stage — set to ₹0. Upgrade to Pro (~$20/mo) only if you need team seats or hit bandwidth limits.</t>
  </si>
  <si>
    <t>Domain / DNS / misc</t>
  </si>
  <si>
    <t>Domain renewal, CDN, email sending, etc.</t>
  </si>
  <si>
    <t>No public pricing to look up here — this is genuinely yours to fill in from your own domain/email bills.</t>
  </si>
  <si>
    <t>Total Fixed Monthly Cost</t>
  </si>
  <si>
    <t>AI (Mint AI) Variable Costs Per Client</t>
  </si>
  <si>
    <t>These scale with usage, not with client count alone. Fill in the actual OpenRouter/Replicate price per unit (yellow), and a realistic guess at monthly usage per active client (yellow). The model estimates monthly AI cost per client automatically.</t>
  </si>
  <si>
    <t>Model (as configured in DB)</t>
  </si>
  <si>
    <t>Type</t>
  </si>
  <si>
    <t>Your cost per unit</t>
  </si>
  <si>
    <t>Unit</t>
  </si>
  <si>
    <t>Avg uses / client / month</t>
  </si>
  <si>
    <t>Est. monthly cost / client</t>
  </si>
  <si>
    <t>openai/gpt-4o-mini</t>
  </si>
  <si>
    <t>Text</t>
  </si>
  <si>
    <t>per 1K tokens</t>
  </si>
  <si>
    <t>openai/gpt-4o</t>
  </si>
  <si>
    <t>anthropic/claude-3-haiku</t>
  </si>
  <si>
    <t>anthropic/claude-3.5-sonnet</t>
  </si>
  <si>
    <t>google/gemini-flash-1.5</t>
  </si>
  <si>
    <t>google/gemini-2.5-flash-image</t>
  </si>
  <si>
    <t>Image</t>
  </si>
  <si>
    <t>per image</t>
  </si>
  <si>
    <t>google/veo-3.1 / veo-3.1-fast / veo-3.1-lite</t>
  </si>
  <si>
    <t>Video</t>
  </si>
  <si>
    <t>per video</t>
  </si>
  <si>
    <t>openai/sora-2-pro</t>
  </si>
  <si>
    <t>bytedance/seedance-1-5-pro</t>
  </si>
  <si>
    <t>Replicate (any other model used)</t>
  </si>
  <si>
    <t>Mixed</t>
  </si>
  <si>
    <t>per call</t>
  </si>
  <si>
    <t>Total estimated AI cost per client / month</t>
  </si>
  <si>
    <t>Quota fields in the code (text_generations, image_generations, video_generations under membership.trial and elsewhere) cap how many a client can use — but nothing in the code currently converts those caps into a rupee cost. That conversion only exists here, once you fill in real prices.</t>
  </si>
  <si>
    <t>Rates above are blended averages from published July 2026 pricing (OpenRouter model pages, Google/OpenAI video pricing guides), converted at ~₹83/$1. Seedance-1-5-pro's rate could not be confirmed from a primary source — treat that one row as a rough placeholder. “Avg uses/client/month” starts from the trial quotas Codex found in the code (10 text, 3 image generations) as a reasonable first guess — replace with real usage once you have it. Each rate above is now a formula (USD price × the exchange-rate cell on "Start Here") instead of a fixed rupee number, so it updates automatically as the rupee moves.</t>
  </si>
  <si>
    <t>Storage, Payments &amp; Third-Party Costs Per Client</t>
  </si>
  <si>
    <t>The other costs that scale per client, beyond AI.</t>
  </si>
  <si>
    <t>What it actually is (from the code)</t>
  </si>
  <si>
    <t>Now (Cloudflare R2)</t>
  </si>
  <si>
    <t>Est. cost / client / month</t>
  </si>
  <si>
    <t>Storage (Mintbox + avatars + KYC + job files)</t>
  </si>
  <si>
    <t>Grows with every file a client uploads. Enter ₹ per GB/month for each provider, and an assumed average GB per client.</t>
  </si>
  <si>
    <t>Fill “avg GB/client” in Sheet 4 note; cost = rate × GB</t>
  </si>
  <si>
    <t>Confirmed: file storage is live on Cloudflare R2 at ~$0.015/GB/month storage, verified via a real uploaded reference file appearing correctly in the R2 dashboard (private bucket rules holding, matching the KYC/mintbox privacy fix from before the migration). R2’s bigger win over Supabase/S3 is $0 egress — every client download is free, versus ~$0.09/GB on S3. Worth double-checking the other three buckets (avatars, kyc-docs, job-attachments) show the same confirmed activity before considering the full migration complete — this cell reflects the storage rate either way.</t>
  </si>
  <si>
    <t>Razorpay payment processing fee</t>
  </si>
  <si>
    <t>Real Razorpay integration exists for membership + access pass checkout. No fee % is hard-coded in the live backend — confirm your actual merchant rate.</t>
  </si>
  <si>
    <t>Modeled against revenue in Sheet 4</t>
  </si>
  <si>
    <t>Razorpay's standard published India rate is 2% MDR + 18% GST on that fee, ≈2.36% effective on domestic cards/UPI/netbanking. Same regardless of hosting migration.</t>
  </si>
  <si>
    <t>WhatsApp (Meta) — Utility rate (project-status messages we send)</t>
  </si>
  <si>
    <t>Real WhatsApp send/webhook integration exists. This is the rate Meta charges when WE message the client first — e.g. "your project moved to production" — not when they reply to us. Replies inside an open 24-hour customer window are free.</t>
  </si>
  <si>
    <t>Modeled in Sheet 4 — cost = this rate × utility messages sent per client/month.</t>
  </si>
  <si>
    <t>Meta's 2026 India rate for Utility (business-initiated, non-promotional) messages is ₹0.115/message — authentication messages are priced the same. Same rate regardless of the Railway/S3 migration, since Meta bills per message, not per host.</t>
  </si>
  <si>
    <t>WhatsApp (Meta) — Marketing rate ("normal"/promotional messages)</t>
  </si>
  <si>
    <t>If you ever send broadcast promos, re-engagement nudges, or any non-utility announcement, Meta bills these at the higher Marketing rate instead.</t>
  </si>
  <si>
    <t>Modeled in Sheet 4 — cost = this rate × marketing messages sent per client/month (defaults to 0).</t>
  </si>
  <si>
    <t>Meta's 2026 India Marketing rate is ₹0.8631/message — about 7.5× the Utility rate. Meta raised this rate ~10% on Jan 1, 2026 (from ₹0.7846). Only give this a volume in Sheet 4 if you actually plan to send promotional broadcasts, not project updates.</t>
  </si>
  <si>
    <t>Meta/Facebook &amp; Instagram publishing</t>
  </si>
  <si>
    <t>Real posting + rate-limit handling exists. Meta's Graph API is free at normal volumes.</t>
  </si>
  <si>
    <t>No paid tier found in code.</t>
  </si>
  <si>
    <t>YouTube Data API</t>
  </si>
  <si>
    <t>Real video upload integration exists. Free up to a daily quota; paid increases exist if you outgrow it.</t>
  </si>
  <si>
    <t>Likely ₹0 unless you request a quota increase.</t>
  </si>
  <si>
    <t>Cost &amp; Margin Per Client — Current vs Planned, Side by Side</t>
  </si>
  <si>
    <t>Fill in the yellow cells across Sheets 1–3 first. Railway, Upstash, and Cloudflare R2 are all now confirmed live, so the infra numbers behind this page are real, not estimates. These two columns now compare two client-scale scenarios side by side (30 clients vs 100 clients) — change the inputs below to model whatever scale question matters to you right now.</t>
  </si>
  <si>
    <t>Current</t>
  </si>
  <si>
    <t>Planned</t>
  </si>
  <si>
    <t>Inputs</t>
  </si>
  <si>
    <t>Number of active clients</t>
  </si>
  <si>
    <t>Monthly membership price (₹999 today)</t>
  </si>
  <si>
    <t>Avg. storage per client (GB/month)</t>
  </si>
  <si>
    <t>Avg active projects per client per month</t>
  </si>
  <si>
    <t>Status-update (Utility) messages we send per project</t>
  </si>
  <si>
    <t>→ Utility messages we send / client / month (computed)</t>
  </si>
  <si>
    <t>Marketing/promotional messages we send / client / month (0 if none planned)</t>
  </si>
  <si>
    <t>Fixed infra cost per client</t>
  </si>
  <si>
    <t>Total fixed infra (Sheet 1) ÷ clients</t>
  </si>
  <si>
    <t>Variable cost per client</t>
  </si>
  <si>
    <t>AI generation cost (Sheet 2 — same both scenarios)</t>
  </si>
  <si>
    <t>Storage cost (rate × avg GB, Sheet 3)</t>
  </si>
  <si>
    <t>WhatsApp Utility cost (Sheet 3 rate × utility messages/client above)</t>
  </si>
  <si>
    <t>WhatsApp Marketing cost (Sheet 3 rate × marketing messages/client above)</t>
  </si>
  <si>
    <t>Razorpay processing fee (% of price)</t>
  </si>
  <si>
    <t>Total Cost Per Client / Month</t>
  </si>
  <si>
    <t>Revenue Per Client / Month</t>
  </si>
  <si>
    <t>Margin Per Client (₹)</t>
  </si>
  <si>
    <t>Margin Per Client (%)</t>
  </si>
  <si>
    <t>Railway, Upstash, and Cloudflare R2 are all confirmed live, so the infra cost feeding both columns is real. The gap between these two columns now comes entirely from scale — more clients means the fixed infra cost splits thinner per client, while variable costs (AI, storage, WhatsApp) stay roughly flat per client regardless of scale. Update the inputs above any time you want to model a different client count or usage pattern.</t>
  </si>
  <si>
    <t>Business Decisions Waiting On You — Not On A Developer</t>
  </si>
  <si>
    <t>These are real contradictions found in the live code. Each one is a pricing or product decision, not a bug.</t>
  </si>
  <si>
    <t>What the code currently does</t>
  </si>
  <si>
    <t>Why it matters for pricing</t>
  </si>
  <si>
    <t>Your decision</t>
  </si>
  <si>
    <t>A MintCoin has no defined rupee value anywhere in the code — coins are granted (trial, monthly, membership), never sold at a fixed rate.</t>
  </si>
  <si>
    <t>You can't tell if a heavy-usage client is profitable or a loss until a coin has a real cost basis.</t>
  </si>
  <si>
    <t>Short-term access passes (₹299/₹499/₹799) unlock account access but grant zero MintCoins.</t>
  </si>
  <si>
    <t>If a pass-holder can't actually get creative work done, it's unclear what they're paying for.</t>
  </si>
  <si>
    <t>Storage add-ons are purchased using wallet cash balance — but the wallet UI is meant to stay hidden from clients in this phase.</t>
  </si>
  <si>
    <t>Right now, a client who needs more storage may have no working way to actually pay for it.</t>
  </si>
  <si>
    <t>A full freelancer marketplace model (wallet, escrow, 15–20% managed margin, 3–5% freelancer commission) is fully built and only hidden behind feature flags.</t>
  </si>
  <si>
    <t>This is a second, much more cash-heavy business sitting dormant. Decide if/when it turns back on, and whether it can coexist with MintCoins.</t>
  </si>
  <si>
    <t>Payout fee settings disagree in the code — one place says ₹49, another says ₹25 for instant payout.</t>
  </si>
  <si>
    <t>Any live payout flow right now would charge an inconsistent fee depending on which code path runs.</t>
  </si>
  <si>
    <t>Mock payment checkout (PAYMENT_MOCK_CHECKOUT) can activate a membership or access pass without a real Razorpay payment.</t>
  </si>
  <si>
    <t>Confirm this is off in production, or clients could get real access without real payment.</t>
  </si>
  <si>
    <t>No refund flow exists for real Razorpay payments — only internal wallet-based reversals.</t>
  </si>
  <si>
    <t>Decide what actually happens if a client wants their money back.</t>
  </si>
  <si>
    <t>No coupon, discount, or promo-code system exists anywhere.</t>
  </si>
  <si>
    <t>Any discounting today would have to be a manual admin action, not a real campaign tool.</t>
  </si>
  <si>
    <t>RESOLVED — Render has been fully retired. Backend now runs on Railway (Hobby plan), confirmed live with a passing healthcheck and all 4 background workers started cleanly in production logs.</t>
  </si>
  <si>
    <t>This is no longer an open decision — keeping it here as a record of what used to be true, so the history of the migration isn’t lost.</t>
  </si>
  <si>
    <t>RESOLVED — File storage migrated to Cloudflare R2. Verified: a real uploaded reference file shows correctly in the R2 dashboard with correct type, size, and private-bucket rules intact.</t>
  </si>
  <si>
    <t>Worth a final check: confirm avatars, kyc-docs, and job-attachments buckets show the same confirmed activity as mintbox-files before treating the full migration as complete across all file types.</t>
  </si>
  <si>
    <t>Planned
(Railway + Upstash + R2)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</si>
</sst>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
    <numFmt numFmtId="166" formatCode="0.0%"/>
  </numFmts>
  <fonts count="13" x14ac:knownFonts="1">
    <font>
      <sz val="11"/>
      <color theme="1"/>
      <name val="Calibri"/>
      <family val="2"/>
      <charset val="1"/>
    </font>
    <font>
      <b/>
      <sz val="16"/>
      <color rgb="FF1F2933"/>
      <name val="Calibri"/>
      <charset val="1"/>
    </font>
    <font>
      <b/>
      <sz val="11"/>
      <color rgb="FF1F2933"/>
      <name val="Calibri"/>
      <charset val="1"/>
    </font>
    <font>
      <sz val="11"/>
      <color rgb="FF0000FF"/>
      <name val="Calibri"/>
      <charset val="1"/>
    </font>
    <font>
      <sz val="11"/>
      <color rgb="FF000000"/>
      <name val="Calibri"/>
      <charset val="1"/>
    </font>
    <font>
      <i/>
      <sz val="10"/>
      <color rgb="FF6B7280"/>
      <name val="Calibri"/>
      <charset val="1"/>
    </font>
    <font>
      <b/>
      <sz val="13"/>
      <color rgb="FF1F2933"/>
      <name val="Calibri"/>
      <charset val="1"/>
    </font>
    <font>
      <b/>
      <sz val="12"/>
      <color rgb="FF1F2933"/>
      <name val="Calibri"/>
      <charset val="1"/>
    </font>
    <font>
      <b/>
      <sz val="12"/>
      <color rgb="FF0000FF"/>
      <name val="Calibri"/>
      <charset val="1"/>
    </font>
    <font>
      <b/>
      <sz val="12"/>
      <color rgb="FFFFFFFF"/>
      <name val="Calibri"/>
      <charset val="1"/>
    </font>
    <font>
      <sz val="11"/>
      <color rgb="FF1F2933"/>
      <name val="Calibri"/>
      <charset val="1"/>
    </font>
    <font>
      <sz val="11"/>
      <name val="Calibri"/>
      <charset val="1"/>
    </font>
    <font>
      <sz val="11"/>
      <color rgb="FF008000"/>
      <name val="Calibri"/>
      <charset val="1"/>
    </font>
  </fonts>
  <fills count="5">
    <fill>
      <patternFill patternType="none"/>
    </fill>
    <fill>
      <patternFill patternType="gray125"/>
    </fill>
    <fill>
      <patternFill patternType="solid">
        <fgColor rgb="FFFFF6C8"/>
        <bgColor rgb="FFFAF9F6"/>
      </patternFill>
    </fill>
    <fill>
      <patternFill patternType="solid">
        <fgColor rgb="FF0F5B4C"/>
        <bgColor rgb="FF008080"/>
      </patternFill>
    </fill>
    <fill>
      <patternFill patternType="solid">
        <fgColor rgb="FFFAF9F6"/>
        <bgColor rgb="FFFFFFFF"/>
      </patternFill>
    </fill>
  </fills>
  <borders count="2">
    <border>
      <left/>
      <right/>
      <top/>
      <bottom/>
      <diagonal/>
    </border>
    <border>
      <left style="thin">
        <color rgb="FFD9DCE1"/>
      </left>
      <right style="thin">
        <color rgb="FFD9DCE1"/>
      </right>
      <top style="thin">
        <color rgb="FFD9DCE1"/>
      </top>
      <bottom style="thin">
        <color rgb="FFD9DCE1"/>
      </bottom>
      <diagonal/>
    </border>
  </borders>
  <cellStyleXfs count="1">
    <xf numFmtId="0" fontId="0" fillId="0" borderId="0"/>
  </cellStyleXfs>
  <cellXfs count="59">
    <xf numFmtId="0" fontId="0" fillId="0" borderId="0" xfId="0"/>
    <xf numFmtId="0" fontId="5" fillId="0" borderId="0" xfId="0" applyFont="1"/>
    <xf numFmtId="0" fontId="5" fillId="0" borderId="0" xfId="0" applyFont="1" applyAlignment="1">
      <alignment wrapText="1"/>
    </xf>
    <xf numFmtId="0" fontId="1" fillId="0" borderId="0" xfId="0" applyFont="1"/>
    <xf numFmtId="0" fontId="1" fillId="0" borderId="0" xfId="0" applyFont="1"/>
    <xf numFmtId="0" fontId="2" fillId="0" borderId="0" xfId="0" applyFont="1"/>
    <xf numFmtId="0" fontId="0" fillId="0" borderId="0" xfId="0" applyAlignment="1">
      <alignment wrapText="1"/>
    </xf>
    <xf numFmtId="0" fontId="0" fillId="2" borderId="0" xfId="0" applyFill="1"/>
    <xf numFmtId="0" fontId="3" fillId="0" borderId="0" xfId="0" applyFont="1"/>
    <xf numFmtId="0" fontId="4" fillId="0" borderId="0" xfId="0" applyFont="1"/>
    <xf numFmtId="0" fontId="5" fillId="0" borderId="0" xfId="0" applyFont="1" applyAlignment="1">
      <alignment wrapText="1"/>
    </xf>
    <xf numFmtId="0" fontId="6" fillId="0" borderId="0" xfId="0" applyFont="1"/>
    <xf numFmtId="0" fontId="7" fillId="0" borderId="0" xfId="0" applyFont="1"/>
    <xf numFmtId="164" fontId="8" fillId="2" borderId="0" xfId="0" applyNumberFormat="1" applyFont="1" applyFill="1"/>
    <xf numFmtId="0" fontId="5" fillId="0" borderId="0" xfId="0" applyFont="1"/>
    <xf numFmtId="0" fontId="5" fillId="0" borderId="0" xfId="0" applyFont="1" applyAlignment="1">
      <alignment vertical="top" wrapText="1"/>
    </xf>
    <xf numFmtId="0" fontId="9" fillId="3" borderId="1" xfId="0" applyFont="1" applyFill="1" applyBorder="1" applyAlignment="1">
      <alignment horizontal="left" vertical="center" wrapText="1"/>
    </xf>
    <xf numFmtId="0" fontId="4" fillId="0" borderId="1" xfId="0" applyFont="1" applyBorder="1" applyAlignment="1">
      <alignment wrapText="1"/>
    </xf>
    <xf numFmtId="0" fontId="0" fillId="0" borderId="1" xfId="0" applyBorder="1" applyAlignment="1">
      <alignment wrapText="1"/>
    </xf>
    <xf numFmtId="165" fontId="10" fillId="2" borderId="1" xfId="0" applyNumberFormat="1" applyFont="1" applyFill="1" applyBorder="1"/>
    <xf numFmtId="0" fontId="5" fillId="0" borderId="1" xfId="0" applyFont="1" applyBorder="1" applyAlignment="1">
      <alignment wrapText="1"/>
    </xf>
    <xf numFmtId="165" fontId="3" fillId="2" borderId="1" xfId="0" applyNumberFormat="1" applyFont="1" applyFill="1" applyBorder="1"/>
    <xf numFmtId="0" fontId="2" fillId="4" borderId="1" xfId="0" applyFont="1" applyFill="1" applyBorder="1"/>
    <xf numFmtId="0" fontId="0" fillId="4" borderId="1" xfId="0" applyFill="1" applyBorder="1"/>
    <xf numFmtId="165" fontId="2" fillId="4" borderId="1" xfId="0" applyNumberFormat="1" applyFont="1" applyFill="1" applyBorder="1"/>
    <xf numFmtId="0" fontId="9" fillId="3" borderId="1" xfId="0" applyFont="1" applyFill="1" applyBorder="1" applyAlignment="1">
      <alignment horizontal="left" vertical="center"/>
    </xf>
    <xf numFmtId="0" fontId="9" fillId="3" borderId="1" xfId="0" applyFont="1" applyFill="1" applyBorder="1" applyAlignment="1">
      <alignment horizontal="center" vertical="center"/>
    </xf>
    <xf numFmtId="0" fontId="4" fillId="0" borderId="1" xfId="0" applyFont="1" applyBorder="1"/>
    <xf numFmtId="0" fontId="5" fillId="0" borderId="1" xfId="0" applyFont="1" applyBorder="1" applyAlignment="1">
      <alignment horizontal="center"/>
    </xf>
    <xf numFmtId="164" fontId="10" fillId="2" borderId="1" xfId="0" applyNumberFormat="1" applyFont="1" applyFill="1" applyBorder="1" applyAlignment="1">
      <alignment horizontal="center"/>
    </xf>
    <xf numFmtId="0" fontId="3" fillId="2" borderId="1" xfId="0" applyFont="1" applyFill="1" applyBorder="1" applyAlignment="1">
      <alignment horizontal="center"/>
    </xf>
    <xf numFmtId="164" fontId="4" fillId="0" borderId="1" xfId="0" applyNumberFormat="1" applyFont="1" applyBorder="1" applyAlignment="1">
      <alignment horizontal="center"/>
    </xf>
    <xf numFmtId="0" fontId="0" fillId="0" borderId="0" xfId="0" applyAlignment="1">
      <alignment horizontal="center"/>
    </xf>
    <xf numFmtId="164" fontId="3" fillId="2" borderId="1" xfId="0" applyNumberFormat="1" applyFont="1" applyFill="1" applyBorder="1" applyAlignment="1">
      <alignment horizontal="center"/>
    </xf>
    <xf numFmtId="0" fontId="0" fillId="0" borderId="1" xfId="0" applyBorder="1"/>
    <xf numFmtId="164" fontId="2" fillId="4" borderId="1" xfId="0" applyNumberFormat="1" applyFont="1" applyFill="1" applyBorder="1"/>
    <xf numFmtId="0" fontId="9" fillId="3" borderId="1" xfId="0" applyFont="1" applyFill="1" applyBorder="1" applyAlignment="1">
      <alignment horizontal="center" vertical="center" wrapText="1"/>
    </xf>
    <xf numFmtId="0" fontId="4" fillId="0" borderId="1" xfId="0" applyFont="1" applyBorder="1" applyAlignment="1">
      <alignment horizontal="center" wrapText="1"/>
    </xf>
    <xf numFmtId="0" fontId="0" fillId="0" borderId="1" xfId="0" applyBorder="1" applyAlignment="1">
      <alignment horizontal="center" wrapText="1"/>
    </xf>
    <xf numFmtId="0" fontId="5" fillId="0" borderId="1" xfId="0" applyFont="1" applyBorder="1" applyAlignment="1">
      <alignment horizontal="center" wrapText="1"/>
    </xf>
    <xf numFmtId="0" fontId="4" fillId="0" borderId="1" xfId="0" applyFont="1" applyBorder="1" applyAlignment="1">
      <alignment horizontal="center"/>
    </xf>
    <xf numFmtId="166" fontId="4" fillId="0" borderId="1" xfId="0" applyNumberFormat="1" applyFont="1" applyBorder="1" applyAlignment="1">
      <alignment horizontal="center"/>
    </xf>
    <xf numFmtId="164" fontId="5" fillId="0" borderId="1" xfId="0" applyNumberFormat="1" applyFont="1" applyBorder="1" applyAlignment="1">
      <alignment horizontal="center" wrapText="1"/>
    </xf>
    <xf numFmtId="0" fontId="11" fillId="0" borderId="0" xfId="0" applyFont="1" applyAlignment="1">
      <alignment horizontal="center"/>
    </xf>
    <xf numFmtId="164" fontId="3" fillId="2" borderId="0" xfId="0" applyNumberFormat="1" applyFont="1" applyFill="1" applyAlignment="1">
      <alignment horizontal="center"/>
    </xf>
    <xf numFmtId="0" fontId="5" fillId="0" borderId="0" xfId="0" applyFont="1" applyAlignment="1">
      <alignment horizontal="center"/>
    </xf>
    <xf numFmtId="164" fontId="4" fillId="0" borderId="1" xfId="0" applyNumberFormat="1" applyFont="1" applyBorder="1" applyAlignment="1">
      <alignment horizontal="center" wrapText="1"/>
    </xf>
    <xf numFmtId="0" fontId="2" fillId="0" borderId="1" xfId="0" applyFont="1" applyBorder="1"/>
    <xf numFmtId="0" fontId="11" fillId="0" borderId="1" xfId="0" applyFont="1" applyBorder="1"/>
    <xf numFmtId="0" fontId="10" fillId="0" borderId="1" xfId="0" applyFont="1" applyBorder="1"/>
    <xf numFmtId="0" fontId="3" fillId="2" borderId="1" xfId="0" applyFont="1" applyFill="1" applyBorder="1"/>
    <xf numFmtId="164" fontId="12" fillId="0" borderId="1" xfId="0" applyNumberFormat="1" applyFont="1" applyBorder="1"/>
    <xf numFmtId="0" fontId="11" fillId="0" borderId="1" xfId="0" applyFont="1" applyBorder="1" applyAlignment="1">
      <alignment wrapText="1"/>
    </xf>
    <xf numFmtId="0" fontId="11" fillId="0" borderId="0" xfId="0" applyFont="1"/>
    <xf numFmtId="0" fontId="10" fillId="0" borderId="0" xfId="0" applyFont="1"/>
    <xf numFmtId="165" fontId="10" fillId="0" borderId="0" xfId="0" applyNumberFormat="1" applyFont="1"/>
    <xf numFmtId="164" fontId="10" fillId="0" borderId="0" xfId="0" applyNumberFormat="1" applyFont="1"/>
    <xf numFmtId="166" fontId="10" fillId="0" borderId="0" xfId="0" applyNumberFormat="1" applyFont="1"/>
    <xf numFmtId="0" fontId="0" fillId="2" borderId="1"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8"/>
      <rgbColor rgb="FFFAF9F6"/>
      <rgbColor rgb="FF660066"/>
      <rgbColor rgb="FFFF8080"/>
      <rgbColor rgb="FF0066CC"/>
      <rgbColor rgb="FFD9DC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0F5B4C"/>
      <rgbColor rgb="FF339966"/>
      <rgbColor rgb="FF003300"/>
      <rgbColor rgb="FF333300"/>
      <rgbColor rgb="FF993300"/>
      <rgbColor rgb="FF993366"/>
      <rgbColor rgb="FF333399"/>
      <rgbColor rgb="FF1F29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22"/>
  <sheetViews>
    <sheetView topLeftCell="A16" zoomScaleNormal="100" workbookViewId="0">
      <selection activeCell="C22" sqref="C22"/>
    </sheetView>
  </sheetViews>
  <sheetFormatPr defaultColWidth="8.6328125" defaultRowHeight="14.5" x14ac:dyDescent="0.35"/>
  <cols>
    <col min="1" max="1" width="4" customWidth="1"/>
    <col min="2" max="2" width="90" customWidth="1"/>
  </cols>
  <sheetData>
    <row r="2" spans="2:2" ht="19.5" customHeight="1" x14ac:dyDescent="0.5">
      <c r="B2" s="4" t="s">
        <v>0</v>
      </c>
    </row>
    <row r="4" spans="2:2" ht="15" customHeight="1" x14ac:dyDescent="0.35">
      <c r="B4" s="5" t="s">
        <v>1</v>
      </c>
    </row>
    <row r="5" spans="2:2" ht="72" customHeight="1" x14ac:dyDescent="0.35">
      <c r="B5" s="6" t="s">
        <v>2</v>
      </c>
    </row>
    <row r="7" spans="2:2" ht="15" customHeight="1" x14ac:dyDescent="0.35">
      <c r="B7" s="5" t="s">
        <v>3</v>
      </c>
    </row>
    <row r="8" spans="2:2" ht="31.5" customHeight="1" x14ac:dyDescent="0.35">
      <c r="B8" s="6" t="s">
        <v>4</v>
      </c>
    </row>
    <row r="9" spans="2:2" ht="31.5" customHeight="1" x14ac:dyDescent="0.35">
      <c r="B9" s="6" t="s">
        <v>5</v>
      </c>
    </row>
    <row r="10" spans="2:2" ht="31.5" customHeight="1" x14ac:dyDescent="0.35">
      <c r="B10" s="6" t="s">
        <v>6</v>
      </c>
    </row>
    <row r="11" spans="2:2" ht="31.5" customHeight="1" x14ac:dyDescent="0.35">
      <c r="B11" s="6" t="s">
        <v>7</v>
      </c>
    </row>
    <row r="12" spans="2:2" ht="31.5" customHeight="1" x14ac:dyDescent="0.35">
      <c r="B12" s="6" t="s">
        <v>8</v>
      </c>
    </row>
    <row r="14" spans="2:2" ht="15" customHeight="1" x14ac:dyDescent="0.35">
      <c r="B14" s="5" t="s">
        <v>9</v>
      </c>
    </row>
    <row r="15" spans="2:2" ht="15" customHeight="1" x14ac:dyDescent="0.35">
      <c r="B15" s="7" t="s">
        <v>10</v>
      </c>
    </row>
    <row r="16" spans="2:2" ht="15" customHeight="1" x14ac:dyDescent="0.35">
      <c r="B16" s="8" t="s">
        <v>11</v>
      </c>
    </row>
    <row r="17" spans="2:4" ht="15" customHeight="1" x14ac:dyDescent="0.35">
      <c r="B17" s="9" t="s">
        <v>12</v>
      </c>
    </row>
    <row r="18" spans="2:4" ht="30" customHeight="1" x14ac:dyDescent="0.35">
      <c r="B18" s="10" t="s">
        <v>13</v>
      </c>
    </row>
    <row r="20" spans="2:4" ht="15.75" customHeight="1" x14ac:dyDescent="0.4">
      <c r="B20" s="11" t="s">
        <v>14</v>
      </c>
    </row>
    <row r="21" spans="2:4" ht="15" customHeight="1" x14ac:dyDescent="0.35">
      <c r="B21" s="12" t="s">
        <v>15</v>
      </c>
      <c r="C21" s="13">
        <v>95.43</v>
      </c>
      <c r="D21" s="14" t="s">
        <v>16</v>
      </c>
    </row>
    <row r="22" spans="2:4" ht="60" customHeight="1" x14ac:dyDescent="0.35">
      <c r="B22" s="15"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zoomScaleNormal="100" workbookViewId="0">
      <selection activeCell="C6" sqref="C6"/>
    </sheetView>
  </sheetViews>
  <sheetFormatPr defaultColWidth="8.6328125" defaultRowHeight="14.5" x14ac:dyDescent="0.35"/>
  <cols>
    <col min="1" max="1" width="26" customWidth="1"/>
    <col min="2" max="2" width="40" customWidth="1"/>
    <col min="3" max="3" width="15" customWidth="1"/>
    <col min="4" max="4" width="16" customWidth="1"/>
    <col min="5" max="5" width="114.6328125" customWidth="1"/>
  </cols>
  <sheetData>
    <row r="1" spans="1:5" ht="19.5" customHeight="1" x14ac:dyDescent="0.5">
      <c r="A1" s="3" t="s">
        <v>18</v>
      </c>
      <c r="B1" s="3"/>
      <c r="C1" s="3"/>
      <c r="D1" s="3"/>
      <c r="E1" s="3"/>
    </row>
    <row r="2" spans="1:5" ht="42" customHeight="1" x14ac:dyDescent="0.35">
      <c r="A2" s="2" t="s">
        <v>19</v>
      </c>
      <c r="B2" s="2"/>
      <c r="C2" s="2"/>
      <c r="D2" s="2"/>
      <c r="E2" s="2"/>
    </row>
    <row r="4" spans="1:5" ht="51" customHeight="1" x14ac:dyDescent="0.35">
      <c r="A4" s="16" t="s">
        <v>20</v>
      </c>
      <c r="B4" s="16" t="s">
        <v>21</v>
      </c>
      <c r="C4" s="16" t="s">
        <v>22</v>
      </c>
      <c r="D4" s="16" t="s">
        <v>149</v>
      </c>
      <c r="E4" s="16" t="s">
        <v>23</v>
      </c>
    </row>
    <row r="5" spans="1:5" ht="57" customHeight="1" x14ac:dyDescent="0.35">
      <c r="A5" s="17" t="s">
        <v>24</v>
      </c>
      <c r="B5" s="18" t="s">
        <v>25</v>
      </c>
      <c r="C5" s="19">
        <v>474</v>
      </c>
      <c r="D5" s="19">
        <f>10*'Start Here'!$C$21</f>
        <v>954.30000000000007</v>
      </c>
      <c r="E5" s="20" t="s">
        <v>26</v>
      </c>
    </row>
    <row r="6" spans="1:5" ht="57" customHeight="1" x14ac:dyDescent="0.35">
      <c r="A6" s="17" t="s">
        <v>27</v>
      </c>
      <c r="B6" s="18" t="s">
        <v>28</v>
      </c>
      <c r="C6" s="19">
        <v>0</v>
      </c>
      <c r="D6" s="19">
        <v>0</v>
      </c>
      <c r="E6" s="20" t="s">
        <v>29</v>
      </c>
    </row>
    <row r="7" spans="1:5" ht="57" customHeight="1" x14ac:dyDescent="0.35">
      <c r="A7" s="17" t="s">
        <v>30</v>
      </c>
      <c r="B7" s="18" t="s">
        <v>31</v>
      </c>
      <c r="C7" s="19">
        <v>0</v>
      </c>
      <c r="D7" s="19">
        <f>25*'Start Here'!$C$21</f>
        <v>2385.75</v>
      </c>
      <c r="E7" s="20" t="s">
        <v>32</v>
      </c>
    </row>
    <row r="8" spans="1:5" ht="57" customHeight="1" x14ac:dyDescent="0.35">
      <c r="A8" s="17" t="s">
        <v>33</v>
      </c>
      <c r="B8" s="18" t="s">
        <v>34</v>
      </c>
      <c r="C8" s="21">
        <v>0</v>
      </c>
      <c r="D8" s="21">
        <v>0</v>
      </c>
      <c r="E8" s="20" t="s">
        <v>35</v>
      </c>
    </row>
    <row r="9" spans="1:5" ht="57" customHeight="1" x14ac:dyDescent="0.35">
      <c r="A9" s="17" t="s">
        <v>36</v>
      </c>
      <c r="B9" s="18" t="s">
        <v>37</v>
      </c>
      <c r="C9" s="21">
        <v>0</v>
      </c>
      <c r="D9" s="21">
        <v>0</v>
      </c>
      <c r="E9" s="20" t="s">
        <v>38</v>
      </c>
    </row>
    <row r="10" spans="1:5" ht="57.75" customHeight="1" x14ac:dyDescent="0.35">
      <c r="A10" s="17" t="s">
        <v>39</v>
      </c>
      <c r="B10" s="18" t="s">
        <v>40</v>
      </c>
      <c r="C10" s="21"/>
      <c r="D10" s="21"/>
      <c r="E10" s="20" t="s">
        <v>41</v>
      </c>
    </row>
    <row r="12" spans="1:5" ht="15" customHeight="1" x14ac:dyDescent="0.35">
      <c r="A12" s="22" t="s">
        <v>42</v>
      </c>
      <c r="B12" s="23"/>
      <c r="C12" s="24">
        <f>SUM(C5:C10)</f>
        <v>474</v>
      </c>
      <c r="D12" s="24">
        <f>SUM(D5:D10)</f>
        <v>3340.05</v>
      </c>
      <c r="E12" s="23"/>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zoomScaleNormal="100" workbookViewId="0">
      <selection activeCell="I10" sqref="I10"/>
    </sheetView>
  </sheetViews>
  <sheetFormatPr defaultColWidth="8.6328125" defaultRowHeight="14.5" x14ac:dyDescent="0.35"/>
  <cols>
    <col min="1" max="1" width="26" customWidth="1"/>
    <col min="2" max="2" width="12" customWidth="1"/>
    <col min="3" max="4" width="20" customWidth="1"/>
    <col min="5" max="5" width="26.36328125" customWidth="1"/>
    <col min="6" max="6" width="25.81640625" customWidth="1"/>
  </cols>
  <sheetData>
    <row r="1" spans="1:8" ht="19.5" customHeight="1" x14ac:dyDescent="0.5">
      <c r="A1" s="4" t="s">
        <v>43</v>
      </c>
    </row>
    <row r="2" spans="1:8" ht="39.75" customHeight="1" x14ac:dyDescent="0.35">
      <c r="A2" s="2" t="s">
        <v>44</v>
      </c>
      <c r="B2" s="2"/>
      <c r="C2" s="2"/>
      <c r="D2" s="2"/>
      <c r="E2" s="2"/>
      <c r="F2" s="2"/>
    </row>
    <row r="4" spans="1:8" ht="15" customHeight="1" x14ac:dyDescent="0.35">
      <c r="A4" s="25" t="s">
        <v>45</v>
      </c>
      <c r="B4" s="26" t="s">
        <v>46</v>
      </c>
      <c r="C4" s="26" t="s">
        <v>47</v>
      </c>
      <c r="D4" s="26" t="s">
        <v>48</v>
      </c>
      <c r="E4" s="26" t="s">
        <v>49</v>
      </c>
      <c r="F4" s="26" t="s">
        <v>50</v>
      </c>
    </row>
    <row r="5" spans="1:8" ht="15" customHeight="1" x14ac:dyDescent="0.35">
      <c r="A5" s="27" t="s">
        <v>51</v>
      </c>
      <c r="B5" s="28" t="s">
        <v>52</v>
      </c>
      <c r="C5" s="29">
        <f>0.000375*'Start Here'!$C$21</f>
        <v>3.5786250000000006E-2</v>
      </c>
      <c r="D5" s="28" t="s">
        <v>53</v>
      </c>
      <c r="E5" s="30">
        <v>8</v>
      </c>
      <c r="F5" s="31">
        <f t="shared" ref="F5:F14" si="0">IFERROR(C5*E5,0)</f>
        <v>0.28629000000000004</v>
      </c>
      <c r="G5" s="32"/>
      <c r="H5" s="32"/>
    </row>
    <row r="6" spans="1:8" ht="15" customHeight="1" x14ac:dyDescent="0.35">
      <c r="A6" s="27" t="s">
        <v>54</v>
      </c>
      <c r="B6" s="28" t="s">
        <v>52</v>
      </c>
      <c r="C6" s="29">
        <f>0.006251*'Start Here'!$C$21</f>
        <v>0.59653292999999996</v>
      </c>
      <c r="D6" s="28" t="s">
        <v>53</v>
      </c>
      <c r="E6" s="30">
        <v>4</v>
      </c>
      <c r="F6" s="31">
        <f t="shared" si="0"/>
        <v>2.3861317199999998</v>
      </c>
      <c r="G6" s="32"/>
      <c r="H6" s="32"/>
    </row>
    <row r="7" spans="1:8" ht="15" customHeight="1" x14ac:dyDescent="0.35">
      <c r="A7" s="27" t="s">
        <v>55</v>
      </c>
      <c r="B7" s="28" t="s">
        <v>52</v>
      </c>
      <c r="C7" s="29">
        <f>0.000749*'Start Here'!$C$21</f>
        <v>7.1477070000000004E-2</v>
      </c>
      <c r="D7" s="28" t="s">
        <v>53</v>
      </c>
      <c r="E7" s="30">
        <v>6</v>
      </c>
      <c r="F7" s="31">
        <f t="shared" si="0"/>
        <v>0.42886242000000002</v>
      </c>
      <c r="G7" s="32"/>
      <c r="H7" s="32"/>
    </row>
    <row r="8" spans="1:8" ht="15" customHeight="1" x14ac:dyDescent="0.35">
      <c r="A8" s="27" t="s">
        <v>56</v>
      </c>
      <c r="B8" s="28" t="s">
        <v>52</v>
      </c>
      <c r="C8" s="29">
        <f>0.009*'Start Here'!$C$21</f>
        <v>0.85887000000000002</v>
      </c>
      <c r="D8" s="28" t="s">
        <v>53</v>
      </c>
      <c r="E8" s="30">
        <v>3</v>
      </c>
      <c r="F8" s="31">
        <f t="shared" si="0"/>
        <v>2.5766100000000001</v>
      </c>
      <c r="G8" s="32"/>
      <c r="H8" s="32"/>
    </row>
    <row r="9" spans="1:8" ht="15" customHeight="1" x14ac:dyDescent="0.35">
      <c r="A9" s="27" t="s">
        <v>57</v>
      </c>
      <c r="B9" s="28" t="s">
        <v>52</v>
      </c>
      <c r="C9" s="29">
        <f>0.000188*'Start Here'!$C$21</f>
        <v>1.794084E-2</v>
      </c>
      <c r="D9" s="28" t="s">
        <v>53</v>
      </c>
      <c r="E9" s="30">
        <v>6</v>
      </c>
      <c r="F9" s="31">
        <f t="shared" si="0"/>
        <v>0.10764504</v>
      </c>
      <c r="G9" s="32"/>
      <c r="H9" s="32"/>
    </row>
    <row r="10" spans="1:8" ht="15" customHeight="1" x14ac:dyDescent="0.35">
      <c r="A10" s="27" t="s">
        <v>58</v>
      </c>
      <c r="B10" s="28" t="s">
        <v>59</v>
      </c>
      <c r="C10" s="29">
        <f>0.04*'Start Here'!$C$21</f>
        <v>3.8172000000000001</v>
      </c>
      <c r="D10" s="28" t="s">
        <v>60</v>
      </c>
      <c r="E10" s="30">
        <v>3</v>
      </c>
      <c r="F10" s="31">
        <f t="shared" si="0"/>
        <v>11.451600000000001</v>
      </c>
      <c r="G10" s="32"/>
      <c r="H10" s="32"/>
    </row>
    <row r="11" spans="1:8" ht="15" customHeight="1" x14ac:dyDescent="0.35">
      <c r="A11" s="27" t="s">
        <v>61</v>
      </c>
      <c r="B11" s="28" t="s">
        <v>62</v>
      </c>
      <c r="C11" s="29">
        <f>0.75*'Start Here'!$C$21</f>
        <v>71.572500000000005</v>
      </c>
      <c r="D11" s="28" t="s">
        <v>63</v>
      </c>
      <c r="E11" s="30">
        <v>1</v>
      </c>
      <c r="F11" s="31">
        <f t="shared" si="0"/>
        <v>71.572500000000005</v>
      </c>
      <c r="G11" s="32"/>
      <c r="H11" s="32"/>
    </row>
    <row r="12" spans="1:8" ht="15" customHeight="1" x14ac:dyDescent="0.35">
      <c r="A12" s="27" t="s">
        <v>64</v>
      </c>
      <c r="B12" s="28" t="s">
        <v>62</v>
      </c>
      <c r="C12" s="29">
        <f>2*'Start Here'!$C$21</f>
        <v>190.86</v>
      </c>
      <c r="D12" s="28" t="s">
        <v>63</v>
      </c>
      <c r="E12" s="30">
        <v>1</v>
      </c>
      <c r="F12" s="31">
        <f t="shared" si="0"/>
        <v>190.86</v>
      </c>
      <c r="G12" s="32"/>
      <c r="H12" s="32"/>
    </row>
    <row r="13" spans="1:8" ht="15" customHeight="1" x14ac:dyDescent="0.35">
      <c r="A13" s="27" t="s">
        <v>65</v>
      </c>
      <c r="B13" s="28" t="s">
        <v>62</v>
      </c>
      <c r="C13" s="29">
        <f>0.4*'Start Here'!$C$21</f>
        <v>38.172000000000004</v>
      </c>
      <c r="D13" s="28" t="s">
        <v>63</v>
      </c>
      <c r="E13" s="30">
        <v>1</v>
      </c>
      <c r="F13" s="31">
        <f t="shared" si="0"/>
        <v>38.172000000000004</v>
      </c>
      <c r="G13" s="32"/>
      <c r="H13" s="32"/>
    </row>
    <row r="14" spans="1:8" ht="15" customHeight="1" x14ac:dyDescent="0.35">
      <c r="A14" s="27" t="s">
        <v>66</v>
      </c>
      <c r="B14" s="28" t="s">
        <v>67</v>
      </c>
      <c r="C14" s="33">
        <v>0</v>
      </c>
      <c r="D14" s="28" t="s">
        <v>68</v>
      </c>
      <c r="E14" s="30">
        <v>0</v>
      </c>
      <c r="F14" s="31">
        <f t="shared" si="0"/>
        <v>0</v>
      </c>
      <c r="G14" s="32"/>
      <c r="H14" s="32"/>
    </row>
    <row r="16" spans="1:8" ht="15" customHeight="1" x14ac:dyDescent="0.35">
      <c r="A16" s="22" t="s">
        <v>69</v>
      </c>
      <c r="B16" s="34"/>
      <c r="C16" s="34"/>
      <c r="D16" s="34"/>
      <c r="E16" s="34"/>
      <c r="F16" s="35">
        <f>SUM(F5:F14)</f>
        <v>317.84163918000002</v>
      </c>
    </row>
    <row r="18" spans="1:6" ht="48" customHeight="1" x14ac:dyDescent="0.35">
      <c r="A18" s="2" t="s">
        <v>70</v>
      </c>
      <c r="B18" s="2"/>
      <c r="C18" s="2"/>
      <c r="D18" s="2"/>
      <c r="E18" s="2"/>
      <c r="F18" s="2"/>
    </row>
    <row r="20" spans="1:6" ht="60" customHeight="1" x14ac:dyDescent="0.35">
      <c r="A20" s="2" t="s">
        <v>71</v>
      </c>
      <c r="B20" s="2"/>
      <c r="C20" s="2"/>
      <c r="D20" s="2"/>
      <c r="E20" s="2"/>
      <c r="F20" s="2"/>
    </row>
  </sheetData>
  <mergeCells count="3">
    <mergeCell ref="A2:F2"/>
    <mergeCell ref="A18:F18"/>
    <mergeCell ref="A20:F20"/>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1"/>
  <sheetViews>
    <sheetView zoomScaleNormal="100" workbookViewId="0">
      <selection activeCell="B2" sqref="B2"/>
    </sheetView>
  </sheetViews>
  <sheetFormatPr defaultColWidth="8.6328125" defaultRowHeight="14.5" x14ac:dyDescent="0.35"/>
  <cols>
    <col min="1" max="1" width="62.6328125" customWidth="1"/>
    <col min="2" max="2" width="47.36328125" customWidth="1"/>
    <col min="3" max="4" width="14" customWidth="1"/>
    <col min="5" max="5" width="16" customWidth="1"/>
    <col min="6" max="6" width="191.453125" customWidth="1"/>
  </cols>
  <sheetData>
    <row r="1" spans="1:6" ht="19.5" customHeight="1" x14ac:dyDescent="0.5">
      <c r="A1" s="3" t="s">
        <v>72</v>
      </c>
      <c r="B1" s="3"/>
      <c r="C1" s="3"/>
      <c r="D1" s="3"/>
      <c r="E1" s="3"/>
      <c r="F1" s="3"/>
    </row>
    <row r="2" spans="1:6" ht="19.5" customHeight="1" x14ac:dyDescent="0.35">
      <c r="A2" s="14" t="s">
        <v>73</v>
      </c>
    </row>
    <row r="4" spans="1:6" ht="30" customHeight="1" x14ac:dyDescent="0.35">
      <c r="A4" s="36" t="s">
        <v>20</v>
      </c>
      <c r="B4" s="36" t="s">
        <v>74</v>
      </c>
      <c r="C4" s="36" t="s">
        <v>75</v>
      </c>
      <c r="D4" s="36" t="s">
        <v>75</v>
      </c>
      <c r="E4" s="36" t="s">
        <v>76</v>
      </c>
      <c r="F4" s="36" t="s">
        <v>23</v>
      </c>
    </row>
    <row r="5" spans="1:6" ht="66" customHeight="1" x14ac:dyDescent="0.35">
      <c r="A5" s="37" t="s">
        <v>77</v>
      </c>
      <c r="B5" s="38" t="s">
        <v>78</v>
      </c>
      <c r="C5" s="29">
        <f>0.015*'Start Here'!$C$21</f>
        <v>1.4314500000000001</v>
      </c>
      <c r="D5" s="29">
        <f>0.015*'Start Here'!$C$21</f>
        <v>1.4314500000000001</v>
      </c>
      <c r="E5" s="39" t="s">
        <v>79</v>
      </c>
      <c r="F5" s="20" t="s">
        <v>80</v>
      </c>
    </row>
    <row r="6" spans="1:6" ht="43.5" customHeight="1" x14ac:dyDescent="0.35">
      <c r="A6" s="40" t="s">
        <v>81</v>
      </c>
      <c r="B6" s="38" t="s">
        <v>82</v>
      </c>
      <c r="C6" s="41">
        <v>2.3599999999999999E-2</v>
      </c>
      <c r="D6" s="41">
        <v>2.3599999999999999E-2</v>
      </c>
      <c r="E6" s="39" t="s">
        <v>83</v>
      </c>
      <c r="F6" s="39" t="s">
        <v>84</v>
      </c>
    </row>
    <row r="7" spans="1:6" ht="72" customHeight="1" x14ac:dyDescent="0.35">
      <c r="A7" s="40" t="s">
        <v>85</v>
      </c>
      <c r="B7" s="38" t="s">
        <v>86</v>
      </c>
      <c r="C7" s="33">
        <v>0.115</v>
      </c>
      <c r="D7" s="33">
        <v>0.115</v>
      </c>
      <c r="E7" s="42" t="s">
        <v>87</v>
      </c>
      <c r="F7" s="39" t="s">
        <v>88</v>
      </c>
    </row>
    <row r="8" spans="1:6" ht="24.75" customHeight="1" x14ac:dyDescent="0.35">
      <c r="A8" s="43" t="s">
        <v>89</v>
      </c>
      <c r="B8" s="32" t="s">
        <v>90</v>
      </c>
      <c r="C8" s="44">
        <v>0.86309999999999998</v>
      </c>
      <c r="D8" s="44">
        <v>0.86309999999999998</v>
      </c>
      <c r="E8" s="45" t="s">
        <v>91</v>
      </c>
      <c r="F8" s="45" t="s">
        <v>92</v>
      </c>
    </row>
    <row r="9" spans="1:6" ht="48" customHeight="1" x14ac:dyDescent="0.35">
      <c r="A9" s="40" t="s">
        <v>93</v>
      </c>
      <c r="B9" s="38" t="s">
        <v>94</v>
      </c>
      <c r="C9" s="31">
        <v>0</v>
      </c>
      <c r="D9" s="31">
        <v>0</v>
      </c>
      <c r="E9" s="46">
        <f>IFERROR(C9,0)</f>
        <v>0</v>
      </c>
      <c r="F9" s="38" t="s">
        <v>95</v>
      </c>
    </row>
    <row r="10" spans="1:6" ht="15" customHeight="1" x14ac:dyDescent="0.35">
      <c r="A10" s="40" t="s">
        <v>96</v>
      </c>
      <c r="B10" s="38" t="s">
        <v>97</v>
      </c>
      <c r="C10" s="31">
        <v>0</v>
      </c>
      <c r="D10" s="31">
        <v>0</v>
      </c>
      <c r="E10" s="46">
        <f>IFERROR(C10,0)</f>
        <v>0</v>
      </c>
      <c r="F10" s="38" t="s">
        <v>98</v>
      </c>
    </row>
    <row r="11" spans="1:6" ht="15" customHeight="1" x14ac:dyDescent="0.35"/>
  </sheetData>
  <mergeCells count="1">
    <mergeCell ref="A1:F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0"/>
  <sheetViews>
    <sheetView tabSelected="1" zoomScaleNormal="100" workbookViewId="0">
      <selection activeCell="D5" sqref="D5"/>
    </sheetView>
  </sheetViews>
  <sheetFormatPr defaultColWidth="8.6328125" defaultRowHeight="14.5" x14ac:dyDescent="0.35"/>
  <cols>
    <col min="1" max="1" width="49.90625" customWidth="1"/>
    <col min="2" max="3" width="20" customWidth="1"/>
  </cols>
  <sheetData>
    <row r="1" spans="1:3" ht="19.5" customHeight="1" x14ac:dyDescent="0.5">
      <c r="A1" s="3" t="s">
        <v>99</v>
      </c>
      <c r="B1" s="3"/>
      <c r="C1" s="3"/>
    </row>
    <row r="2" spans="1:3" ht="39.75" customHeight="1" x14ac:dyDescent="0.35">
      <c r="A2" s="2" t="s">
        <v>100</v>
      </c>
      <c r="B2" s="2"/>
      <c r="C2" s="2"/>
    </row>
    <row r="4" spans="1:3" ht="15" customHeight="1" x14ac:dyDescent="0.35">
      <c r="A4" s="23"/>
      <c r="B4" s="22" t="s">
        <v>101</v>
      </c>
      <c r="C4" s="22" t="s">
        <v>102</v>
      </c>
    </row>
    <row r="5" spans="1:3" ht="15" customHeight="1" x14ac:dyDescent="0.35">
      <c r="A5" s="47" t="s">
        <v>103</v>
      </c>
      <c r="B5" s="48"/>
      <c r="C5" s="48"/>
    </row>
    <row r="6" spans="1:3" ht="15" customHeight="1" x14ac:dyDescent="0.35">
      <c r="A6" s="49" t="s">
        <v>104</v>
      </c>
      <c r="B6" s="50">
        <v>30</v>
      </c>
      <c r="C6" s="50">
        <v>100</v>
      </c>
    </row>
    <row r="7" spans="1:3" ht="15" customHeight="1" x14ac:dyDescent="0.35">
      <c r="A7" s="49" t="s">
        <v>105</v>
      </c>
      <c r="B7" s="21">
        <v>999</v>
      </c>
      <c r="C7" s="21">
        <v>999</v>
      </c>
    </row>
    <row r="8" spans="1:3" ht="15" customHeight="1" x14ac:dyDescent="0.35">
      <c r="A8" s="49" t="s">
        <v>106</v>
      </c>
      <c r="B8" s="50">
        <v>10</v>
      </c>
      <c r="C8" s="50">
        <v>10</v>
      </c>
    </row>
    <row r="9" spans="1:3" ht="15" customHeight="1" x14ac:dyDescent="0.35">
      <c r="A9" s="49" t="s">
        <v>107</v>
      </c>
      <c r="B9" s="50">
        <v>10</v>
      </c>
      <c r="C9" s="50">
        <v>15</v>
      </c>
    </row>
    <row r="10" spans="1:3" ht="15" customHeight="1" x14ac:dyDescent="0.35">
      <c r="A10" s="49" t="s">
        <v>108</v>
      </c>
      <c r="B10" s="50">
        <v>10</v>
      </c>
      <c r="C10" s="50">
        <v>10</v>
      </c>
    </row>
    <row r="11" spans="1:3" ht="15" customHeight="1" x14ac:dyDescent="0.35">
      <c r="A11" s="49" t="s">
        <v>109</v>
      </c>
      <c r="B11" s="49">
        <f>B9*B10</f>
        <v>100</v>
      </c>
      <c r="C11" s="49">
        <f>C9*C10</f>
        <v>150</v>
      </c>
    </row>
    <row r="12" spans="1:3" ht="15" customHeight="1" x14ac:dyDescent="0.35">
      <c r="A12" s="49" t="s">
        <v>110</v>
      </c>
      <c r="B12" s="50">
        <v>0</v>
      </c>
      <c r="C12" s="50">
        <v>0</v>
      </c>
    </row>
    <row r="13" spans="1:3" ht="15" customHeight="1" x14ac:dyDescent="0.35">
      <c r="A13" s="48"/>
      <c r="B13" s="48"/>
      <c r="C13" s="48"/>
    </row>
    <row r="14" spans="1:3" ht="15" customHeight="1" x14ac:dyDescent="0.35">
      <c r="A14" s="47" t="s">
        <v>111</v>
      </c>
      <c r="B14" s="48"/>
      <c r="C14" s="48"/>
    </row>
    <row r="15" spans="1:3" ht="15" customHeight="1" x14ac:dyDescent="0.35">
      <c r="A15" s="49" t="s">
        <v>112</v>
      </c>
      <c r="B15" s="51">
        <f>IFERROR('1. Fixed Infra Costs'!C12/B6,0)</f>
        <v>15.8</v>
      </c>
      <c r="C15" s="51">
        <f>IFERROR('1. Fixed Infra Costs'!D12/C6,0)</f>
        <v>33.400500000000001</v>
      </c>
    </row>
    <row r="16" spans="1:3" ht="15" customHeight="1" x14ac:dyDescent="0.35">
      <c r="A16" s="48"/>
      <c r="B16" s="48"/>
      <c r="C16" s="48"/>
    </row>
    <row r="17" spans="1:3" ht="15" customHeight="1" x14ac:dyDescent="0.35">
      <c r="A17" s="47" t="s">
        <v>113</v>
      </c>
      <c r="B17" s="48"/>
      <c r="C17" s="48"/>
    </row>
    <row r="18" spans="1:3" ht="15" customHeight="1" x14ac:dyDescent="0.35">
      <c r="A18" s="49" t="s">
        <v>114</v>
      </c>
      <c r="B18" s="51">
        <f>'2. AI Variable Costs'!F16</f>
        <v>317.84163918000002</v>
      </c>
      <c r="C18" s="51">
        <f>'2. AI Variable Costs'!F16</f>
        <v>317.84163918000002</v>
      </c>
    </row>
    <row r="19" spans="1:3" ht="15" customHeight="1" x14ac:dyDescent="0.35">
      <c r="A19" s="49" t="s">
        <v>115</v>
      </c>
      <c r="B19" s="51">
        <f>IFERROR('3. Other Per-Client Costs'!C5*B8,0)</f>
        <v>14.314500000000001</v>
      </c>
      <c r="C19" s="51">
        <f>IFERROR('3. Other Per-Client Costs'!D5*C8,0)</f>
        <v>14.314500000000001</v>
      </c>
    </row>
    <row r="20" spans="1:3" ht="15" customHeight="1" x14ac:dyDescent="0.35">
      <c r="A20" s="49" t="s">
        <v>116</v>
      </c>
      <c r="B20" s="51">
        <f>IFERROR('3. Other Per-Client Costs'!$C$7*B11,0)</f>
        <v>11.5</v>
      </c>
      <c r="C20" s="51">
        <f>IFERROR('3. Other Per-Client Costs'!$D$7*C11,0)</f>
        <v>17.25</v>
      </c>
    </row>
    <row r="21" spans="1:3" ht="15" customHeight="1" x14ac:dyDescent="0.35">
      <c r="A21" s="49" t="s">
        <v>117</v>
      </c>
      <c r="B21" s="51">
        <f>IFERROR('3. Other Per-Client Costs'!$C$8*B12,0)</f>
        <v>0</v>
      </c>
      <c r="C21" s="51">
        <f>IFERROR('3. Other Per-Client Costs'!$D$8*C12,0)</f>
        <v>0</v>
      </c>
    </row>
    <row r="22" spans="1:3" ht="15" customHeight="1" x14ac:dyDescent="0.35">
      <c r="A22" s="49" t="s">
        <v>118</v>
      </c>
      <c r="B22" s="51">
        <f>IFERROR('3. Other Per-Client Costs'!C6*B7,0)</f>
        <v>23.5764</v>
      </c>
      <c r="C22" s="51">
        <f>IFERROR('3. Other Per-Client Costs'!D6*C7,0)</f>
        <v>23.5764</v>
      </c>
    </row>
    <row r="23" spans="1:3" ht="15" customHeight="1" x14ac:dyDescent="0.35">
      <c r="A23" s="48"/>
      <c r="B23" s="48"/>
      <c r="C23" s="48"/>
    </row>
    <row r="24" spans="1:3" ht="15" customHeight="1" x14ac:dyDescent="0.35">
      <c r="A24" s="22" t="s">
        <v>119</v>
      </c>
      <c r="B24" s="35">
        <f>B15+B18+B19+B20+B21+B22</f>
        <v>383.03253918000001</v>
      </c>
      <c r="C24" s="35">
        <f>C15+C18+C19+C20+C21+C22</f>
        <v>406.38303918000003</v>
      </c>
    </row>
    <row r="25" spans="1:3" ht="60" customHeight="1" x14ac:dyDescent="0.35">
      <c r="A25" s="52"/>
      <c r="B25" s="53"/>
      <c r="C25" s="53"/>
    </row>
    <row r="26" spans="1:3" ht="14.25" customHeight="1" x14ac:dyDescent="0.35">
      <c r="A26" s="54" t="s">
        <v>120</v>
      </c>
      <c r="B26" s="55">
        <f>B7</f>
        <v>999</v>
      </c>
      <c r="C26" s="55">
        <f>C7</f>
        <v>999</v>
      </c>
    </row>
    <row r="27" spans="1:3" ht="14.25" customHeight="1" x14ac:dyDescent="0.35">
      <c r="A27" s="54" t="s">
        <v>121</v>
      </c>
      <c r="B27" s="56">
        <f>B26-B24</f>
        <v>615.96746082000004</v>
      </c>
      <c r="C27" s="56">
        <f>C26-C24</f>
        <v>592.61696082000003</v>
      </c>
    </row>
    <row r="28" spans="1:3" ht="14.25" customHeight="1" x14ac:dyDescent="0.35">
      <c r="A28" s="54" t="s">
        <v>122</v>
      </c>
      <c r="B28" s="57">
        <f>IFERROR(B27/B26,0)</f>
        <v>0.61658404486486496</v>
      </c>
      <c r="C28" s="57">
        <f>IFERROR(C27/C26,0)</f>
        <v>0.59321017099099105</v>
      </c>
    </row>
    <row r="30" spans="1:3" ht="60" customHeight="1" x14ac:dyDescent="0.35">
      <c r="A30" s="2" t="s">
        <v>123</v>
      </c>
      <c r="B30" s="2"/>
      <c r="C30" s="2"/>
    </row>
  </sheetData>
  <mergeCells count="3">
    <mergeCell ref="A1:C1"/>
    <mergeCell ref="A2:C2"/>
    <mergeCell ref="A30:C3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4"/>
  <sheetViews>
    <sheetView topLeftCell="A4" zoomScaleNormal="100" workbookViewId="0">
      <selection activeCell="B3" sqref="B3"/>
    </sheetView>
  </sheetViews>
  <sheetFormatPr defaultColWidth="8.6328125" defaultRowHeight="14.5" x14ac:dyDescent="0.35"/>
  <cols>
    <col min="1" max="1" width="49.90625" customWidth="1"/>
    <col min="2" max="2" width="50" customWidth="1"/>
    <col min="3" max="3" width="20" customWidth="1"/>
  </cols>
  <sheetData>
    <row r="1" spans="1:3" ht="19.5" customHeight="1" x14ac:dyDescent="0.5">
      <c r="A1" s="3" t="s">
        <v>124</v>
      </c>
      <c r="B1" s="3"/>
      <c r="C1" s="3"/>
    </row>
    <row r="2" spans="1:3" ht="19.5" customHeight="1" x14ac:dyDescent="0.35">
      <c r="A2" s="1" t="s">
        <v>125</v>
      </c>
      <c r="B2" s="1"/>
      <c r="C2" s="1"/>
    </row>
    <row r="4" spans="1:3" ht="15" customHeight="1" x14ac:dyDescent="0.35">
      <c r="A4" s="25" t="s">
        <v>126</v>
      </c>
      <c r="B4" s="25" t="s">
        <v>127</v>
      </c>
      <c r="C4" s="25" t="s">
        <v>128</v>
      </c>
    </row>
    <row r="5" spans="1:3" ht="49.5" customHeight="1" x14ac:dyDescent="0.35">
      <c r="A5" s="18" t="s">
        <v>129</v>
      </c>
      <c r="B5" s="18" t="s">
        <v>130</v>
      </c>
      <c r="C5" s="58"/>
    </row>
    <row r="6" spans="1:3" ht="49.5" customHeight="1" x14ac:dyDescent="0.35">
      <c r="A6" s="18" t="s">
        <v>131</v>
      </c>
      <c r="B6" s="18" t="s">
        <v>132</v>
      </c>
      <c r="C6" s="58"/>
    </row>
    <row r="7" spans="1:3" ht="49.5" customHeight="1" x14ac:dyDescent="0.35">
      <c r="A7" s="18" t="s">
        <v>133</v>
      </c>
      <c r="B7" s="18" t="s">
        <v>134</v>
      </c>
      <c r="C7" s="58"/>
    </row>
    <row r="8" spans="1:3" ht="49.5" customHeight="1" x14ac:dyDescent="0.35">
      <c r="A8" s="18" t="s">
        <v>135</v>
      </c>
      <c r="B8" s="18" t="s">
        <v>136</v>
      </c>
      <c r="C8" s="58"/>
    </row>
    <row r="9" spans="1:3" ht="49.5" customHeight="1" x14ac:dyDescent="0.35">
      <c r="A9" s="18" t="s">
        <v>137</v>
      </c>
      <c r="B9" s="18" t="s">
        <v>138</v>
      </c>
      <c r="C9" s="58"/>
    </row>
    <row r="10" spans="1:3" ht="49.5" customHeight="1" x14ac:dyDescent="0.35">
      <c r="A10" s="18" t="s">
        <v>139</v>
      </c>
      <c r="B10" s="18" t="s">
        <v>140</v>
      </c>
      <c r="C10" s="58"/>
    </row>
    <row r="11" spans="1:3" ht="49.5" customHeight="1" x14ac:dyDescent="0.35">
      <c r="A11" s="18" t="s">
        <v>141</v>
      </c>
      <c r="B11" s="18" t="s">
        <v>142</v>
      </c>
      <c r="C11" s="58"/>
    </row>
    <row r="12" spans="1:3" ht="49.5" customHeight="1" x14ac:dyDescent="0.35">
      <c r="A12" s="18" t="s">
        <v>143</v>
      </c>
      <c r="B12" s="18" t="s">
        <v>144</v>
      </c>
      <c r="C12" s="58"/>
    </row>
    <row r="13" spans="1:3" ht="49.5" customHeight="1" x14ac:dyDescent="0.35">
      <c r="A13" s="18" t="s">
        <v>145</v>
      </c>
      <c r="B13" s="18" t="s">
        <v>146</v>
      </c>
      <c r="C13" s="58"/>
    </row>
    <row r="14" spans="1:3" ht="49.5" customHeight="1" x14ac:dyDescent="0.35">
      <c r="A14" s="18" t="s">
        <v>147</v>
      </c>
      <c r="B14" s="18" t="s">
        <v>148</v>
      </c>
      <c r="C14" s="58"/>
    </row>
  </sheetData>
  <mergeCells count="2">
    <mergeCell ref="A1:C1"/>
    <mergeCell ref="A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 Here</vt:lpstr>
      <vt:lpstr>1. Fixed Infra Costs</vt:lpstr>
      <vt:lpstr>2. AI Variable Costs</vt:lpstr>
      <vt:lpstr>3. Other Per-Client Costs</vt:lpstr>
      <vt:lpstr>4. Client Economics</vt:lpstr>
      <vt:lpstr>5. Open 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Devdeep Saha</cp:lastModifiedBy>
  <cp:revision>0</cp:revision>
  <dcterms:created xsi:type="dcterms:W3CDTF">2026-07-05T21:20:27Z</dcterms:created>
  <dcterms:modified xsi:type="dcterms:W3CDTF">2026-07-07T12:42:33Z</dcterms:modified>
  <dc:language>en-US</dc:language>
</cp:coreProperties>
</file>